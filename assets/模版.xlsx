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zhida/Desktop/开发/shouxiao_tool/assets/"/>
    </mc:Choice>
  </mc:AlternateContent>
  <xr:revisionPtr revIDLastSave="0" documentId="13_ncr:1_{87E1FD5D-16B6-8747-821B-E574646CA1F0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到客户" sheetId="1" r:id="rId1"/>
    <sheet name="到门店" sheetId="2" r:id="rId2"/>
    <sheet name="门店通报用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3" l="1"/>
  <c r="P22" i="3" s="1"/>
  <c r="O21" i="3"/>
  <c r="P21" i="3" s="1"/>
  <c r="O20" i="3"/>
  <c r="O19" i="3"/>
  <c r="P19" i="3" s="1"/>
  <c r="O18" i="3"/>
  <c r="P18" i="3" s="1"/>
  <c r="O17" i="3"/>
  <c r="P17" i="3" s="1"/>
  <c r="O16" i="3"/>
  <c r="P16" i="3" s="1"/>
  <c r="O15" i="3"/>
  <c r="P15" i="3" s="1"/>
  <c r="O14" i="3"/>
  <c r="O23" i="3" s="1"/>
  <c r="P23" i="3" s="1"/>
  <c r="O13" i="3"/>
  <c r="P13" i="3" s="1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O3" i="3"/>
  <c r="H14" i="3"/>
  <c r="I14" i="3" s="1"/>
  <c r="H15" i="3"/>
  <c r="I15" i="3" s="1"/>
  <c r="H16" i="3"/>
  <c r="I16" i="3" s="1"/>
  <c r="H17" i="3"/>
  <c r="H18" i="3"/>
  <c r="I18" i="3" s="1"/>
  <c r="H19" i="3"/>
  <c r="I19" i="3" s="1"/>
  <c r="H20" i="3"/>
  <c r="I20" i="3" s="1"/>
  <c r="H21" i="3"/>
  <c r="I21" i="3" s="1"/>
  <c r="H22" i="3"/>
  <c r="I22" i="3" s="1"/>
  <c r="H13" i="3"/>
  <c r="I13" i="3" s="1"/>
  <c r="H4" i="3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3" i="3"/>
  <c r="I3" i="3" s="1"/>
  <c r="L14" i="3"/>
  <c r="M14" i="3" s="1"/>
  <c r="L15" i="3"/>
  <c r="M15" i="3" s="1"/>
  <c r="L16" i="3"/>
  <c r="M16" i="3" s="1"/>
  <c r="L17" i="3"/>
  <c r="L18" i="3"/>
  <c r="M18" i="3" s="1"/>
  <c r="L19" i="3"/>
  <c r="M19" i="3" s="1"/>
  <c r="L20" i="3"/>
  <c r="M20" i="3" s="1"/>
  <c r="L21" i="3"/>
  <c r="M21" i="3" s="1"/>
  <c r="L22" i="3"/>
  <c r="M22" i="3" s="1"/>
  <c r="L13" i="3"/>
  <c r="M13" i="3" s="1"/>
  <c r="L4" i="3"/>
  <c r="M4" i="3" s="1"/>
  <c r="L5" i="3"/>
  <c r="M5" i="3" s="1"/>
  <c r="L6" i="3"/>
  <c r="M6" i="3" s="1"/>
  <c r="L7" i="3"/>
  <c r="M7" i="3" s="1"/>
  <c r="L8" i="3"/>
  <c r="L9" i="3"/>
  <c r="M9" i="3" s="1"/>
  <c r="L10" i="3"/>
  <c r="M10" i="3" s="1"/>
  <c r="L11" i="3"/>
  <c r="M11" i="3" s="1"/>
  <c r="L3" i="3"/>
  <c r="M3" i="3" s="1"/>
  <c r="E3" i="3"/>
  <c r="E22" i="3"/>
  <c r="F22" i="3" s="1"/>
  <c r="E21" i="3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E13" i="3"/>
  <c r="F13" i="3" s="1"/>
  <c r="E4" i="3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F3" i="3"/>
  <c r="Q23" i="3"/>
  <c r="N23" i="3"/>
  <c r="L23" i="3"/>
  <c r="M23" i="3" s="1"/>
  <c r="K23" i="3"/>
  <c r="J23" i="3"/>
  <c r="G23" i="3"/>
  <c r="E23" i="3"/>
  <c r="F23" i="3" s="1"/>
  <c r="D23" i="3"/>
  <c r="F21" i="3"/>
  <c r="P20" i="3"/>
  <c r="M17" i="3"/>
  <c r="I17" i="3"/>
  <c r="F14" i="3"/>
  <c r="Q12" i="3"/>
  <c r="N12" i="3"/>
  <c r="K12" i="3"/>
  <c r="J12" i="3"/>
  <c r="G12" i="3"/>
  <c r="D12" i="3"/>
  <c r="P11" i="3"/>
  <c r="M8" i="3"/>
  <c r="I4" i="3"/>
  <c r="F4" i="3"/>
  <c r="P14" i="3" l="1"/>
  <c r="O12" i="3"/>
  <c r="P12" i="3" s="1"/>
  <c r="P3" i="3"/>
  <c r="H23" i="3"/>
  <c r="I23" i="3" s="1"/>
  <c r="H12" i="3"/>
  <c r="I12" i="3" s="1"/>
  <c r="L12" i="3"/>
  <c r="M12" i="3" s="1"/>
  <c r="E12" i="3"/>
  <c r="F12" i="3" s="1"/>
</calcChain>
</file>

<file path=xl/sharedStrings.xml><?xml version="1.0" encoding="utf-8"?>
<sst xmlns="http://schemas.openxmlformats.org/spreadsheetml/2006/main" count="83" uniqueCount="48">
  <si>
    <t>客户名称</t>
  </si>
  <si>
    <t>合计</t>
  </si>
  <si>
    <t>门店名称</t>
  </si>
  <si>
    <t>z</t>
  </si>
  <si>
    <t>产品1</t>
    <phoneticPr fontId="1" type="noConversion"/>
  </si>
  <si>
    <t>产品2</t>
  </si>
  <si>
    <t>产品3</t>
  </si>
  <si>
    <t>产品4</t>
  </si>
  <si>
    <t>导购</t>
  </si>
  <si>
    <t>督导</t>
  </si>
  <si>
    <t xml:space="preserve">畅享 90 Plus </t>
  </si>
  <si>
    <t>畅享 90 Pro Max</t>
  </si>
  <si>
    <t>首销5天目标</t>
  </si>
  <si>
    <t>首销5天达成</t>
  </si>
  <si>
    <t>首销5天达成率</t>
  </si>
  <si>
    <t>首销月</t>
  </si>
  <si>
    <t>曲靖市宣威市联启通讯智能家居店</t>
  </si>
  <si>
    <t>张必然</t>
  </si>
  <si>
    <t>包月秀</t>
  </si>
  <si>
    <t>曲靖市宣威市联启通讯建设西路12分店</t>
  </si>
  <si>
    <t>周然</t>
  </si>
  <si>
    <t>曲靖市宣威市建设西路联启通讯合作店</t>
  </si>
  <si>
    <t>/</t>
  </si>
  <si>
    <t>曲靖市宣威市联启通讯建设西路13分店</t>
  </si>
  <si>
    <t>曲靖市宣威市联启通讯振兴街总店</t>
  </si>
  <si>
    <t>陈永鹏</t>
  </si>
  <si>
    <t>曲靖市沾益区联启通讯西平路店</t>
  </si>
  <si>
    <t>赵蜜</t>
  </si>
  <si>
    <t>曲靖市沾益区联启通讯龙华北路店</t>
  </si>
  <si>
    <t>云南省曲靖市宣威市建设街联启华为授权体验店</t>
  </si>
  <si>
    <t>云南省曲靖市沾益区龙华北路联启华为授权体验店</t>
  </si>
  <si>
    <t>王瑜</t>
  </si>
  <si>
    <t>云南省曲靖市宣威市振兴街同文华为授权体验店</t>
  </si>
  <si>
    <t>曲靖市宣威市大众通讯振兴街店</t>
  </si>
  <si>
    <t>马举川</t>
  </si>
  <si>
    <t>云南省宣威市九机网1店</t>
  </si>
  <si>
    <t>刘博</t>
  </si>
  <si>
    <t>曲靖市宣威振兴街大众通讯2分店</t>
  </si>
  <si>
    <t>钱彩艳</t>
  </si>
  <si>
    <t>曲靖宣威市文昌通讯振兴中路二楼总店</t>
  </si>
  <si>
    <t>云南省宣威市九机网2店</t>
  </si>
  <si>
    <t>曲靖市宣威市杜鹃花雕像文昌通讯合作店</t>
  </si>
  <si>
    <t>曲靖市宣威市交通门文昌通讯合作店</t>
  </si>
  <si>
    <t>华为授权服务中心（龙泽欣都）</t>
  </si>
  <si>
    <t>首销日目标</t>
  </si>
  <si>
    <t>首销日达成</t>
  </si>
  <si>
    <t>首销日达成率</t>
  </si>
  <si>
    <t>曲靖市宣威市沃尔玛商业街荣诚通讯合作店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</si>
</sst>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_ "/>
  </numFmts>
  <fonts count="1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8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DCEBFF"/>
      </patternFill>
    </fill>
    <fill>
      <patternFill patternType="solid">
        <fgColor rgb="FFEAF3FF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80" fontId="7" fillId="6" borderId="2" xfId="0" applyNumberFormat="1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3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180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0" fontId="9" fillId="0" borderId="2" xfId="1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0" fontId="10" fillId="7" borderId="2" xfId="1" applyNumberFormat="1" applyFont="1" applyFill="1" applyBorder="1" applyAlignment="1">
      <alignment horizontal="center" vertical="center" wrapText="1"/>
    </xf>
    <xf numFmtId="0" fontId="9" fillId="0" borderId="2" xfId="0" applyFont="1" applyBorder="1">
      <alignment vertical="center"/>
    </xf>
    <xf numFmtId="49" fontId="9" fillId="0" borderId="2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B1" sqref="B1:E1"/>
    </sheetView>
  </sheetViews>
  <sheetFormatPr baseColWidth="10" defaultRowHeight="26"/>
  <cols>
    <col min="1" max="1" width="36" style="2" bestFit="1" customWidth="1"/>
    <col min="2" max="2" width="16" style="2" customWidth="1"/>
    <col min="3" max="5" width="16" style="3" customWidth="1"/>
    <col min="6" max="6" width="10" style="3" customWidth="1"/>
    <col min="7" max="8" width="10.83203125" style="2" customWidth="1"/>
    <col min="9" max="16384" width="10.83203125" style="2"/>
  </cols>
  <sheetData>
    <row r="1" spans="1:6" ht="24" customHeight="1">
      <c r="A1" s="5" t="s">
        <v>0</v>
      </c>
      <c r="B1" s="6" t="s">
        <v>4</v>
      </c>
      <c r="C1" s="6" t="s">
        <v>5</v>
      </c>
      <c r="D1" s="6" t="s">
        <v>6</v>
      </c>
      <c r="E1" s="6" t="s">
        <v>7</v>
      </c>
      <c r="F1" s="4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A11" sqref="A11"/>
    </sheetView>
  </sheetViews>
  <sheetFormatPr baseColWidth="10" defaultRowHeight="26"/>
  <cols>
    <col min="1" max="1" width="40" style="2" bestFit="1" customWidth="1"/>
    <col min="2" max="2" width="16" style="2" customWidth="1"/>
    <col min="3" max="5" width="16" style="3" customWidth="1"/>
    <col min="6" max="6" width="10" style="3" customWidth="1"/>
    <col min="7" max="8" width="10.83203125" style="2" customWidth="1"/>
    <col min="9" max="16384" width="10.83203125" style="2"/>
  </cols>
  <sheetData>
    <row r="1" spans="1:6" ht="24" customHeight="1">
      <c r="A1" s="5" t="s">
        <v>2</v>
      </c>
      <c r="B1" s="6" t="s">
        <v>4</v>
      </c>
      <c r="C1" s="6" t="s">
        <v>5</v>
      </c>
      <c r="D1" s="6" t="s">
        <v>6</v>
      </c>
      <c r="E1" s="6" t="s">
        <v>7</v>
      </c>
      <c r="F1" s="4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zoomScale="106" workbookViewId="0">
      <selection activeCell="N26" sqref="N26"/>
    </sheetView>
  </sheetViews>
  <sheetFormatPr baseColWidth="10" defaultRowHeight="14"/>
  <cols>
    <col min="1" max="1" width="41.6640625" bestFit="1" customWidth="1"/>
    <col min="4" max="6" width="0" hidden="1" customWidth="1"/>
    <col min="11" max="13" width="0" hidden="1" customWidth="1"/>
  </cols>
  <sheetData>
    <row r="1" spans="1:17" ht="41" customHeight="1">
      <c r="A1" s="7" t="s">
        <v>2</v>
      </c>
      <c r="B1" s="8" t="s">
        <v>8</v>
      </c>
      <c r="C1" s="8" t="s">
        <v>9</v>
      </c>
      <c r="D1" s="7" t="s">
        <v>10</v>
      </c>
      <c r="E1" s="9"/>
      <c r="F1" s="9"/>
      <c r="G1" s="9"/>
      <c r="H1" s="9"/>
      <c r="I1" s="9"/>
      <c r="J1" s="10"/>
      <c r="K1" s="7" t="s">
        <v>11</v>
      </c>
      <c r="L1" s="9"/>
      <c r="M1" s="9"/>
      <c r="N1" s="9"/>
      <c r="O1" s="9"/>
      <c r="P1" s="9"/>
      <c r="Q1" s="10"/>
    </row>
    <row r="2" spans="1:17" ht="34">
      <c r="A2" s="11"/>
      <c r="B2" s="12"/>
      <c r="C2" s="11"/>
      <c r="D2" s="13" t="s">
        <v>44</v>
      </c>
      <c r="E2" s="13" t="s">
        <v>45</v>
      </c>
      <c r="F2" s="13" t="s">
        <v>46</v>
      </c>
      <c r="G2" s="13" t="s">
        <v>12</v>
      </c>
      <c r="H2" s="13" t="s">
        <v>13</v>
      </c>
      <c r="I2" s="13" t="s">
        <v>14</v>
      </c>
      <c r="J2" s="13" t="s">
        <v>15</v>
      </c>
      <c r="K2" s="13" t="s">
        <v>44</v>
      </c>
      <c r="L2" s="13" t="s">
        <v>45</v>
      </c>
      <c r="M2" s="13" t="s">
        <v>46</v>
      </c>
      <c r="N2" s="13" t="s">
        <v>12</v>
      </c>
      <c r="O2" s="13" t="s">
        <v>13</v>
      </c>
      <c r="P2" s="13" t="s">
        <v>14</v>
      </c>
      <c r="Q2" s="13" t="s">
        <v>15</v>
      </c>
    </row>
    <row r="3" spans="1:17" ht="16">
      <c r="A3" s="14" t="s">
        <v>16</v>
      </c>
      <c r="B3" s="15" t="s">
        <v>17</v>
      </c>
      <c r="C3" s="15" t="s">
        <v>18</v>
      </c>
      <c r="D3" s="16">
        <v>2</v>
      </c>
      <c r="E3" s="16" t="e">
        <f>_xlfn.XLOOKUP(A3, 到门店!A:A, 到门店!B:B)</f>
        <v>#N/A</v>
      </c>
      <c r="F3" s="17" t="e">
        <f t="shared" ref="F3:F23" si="0">E3/D3</f>
        <v>#N/A</v>
      </c>
      <c r="G3" s="16">
        <v>5</v>
      </c>
      <c r="H3" s="16" t="e">
        <f>_xlfn.XLOOKUP(A3, 到门店!A:A, 到门店!B:B)</f>
        <v>#N/A</v>
      </c>
      <c r="I3" s="17" t="e">
        <f t="shared" ref="I3:I23" si="1">H3/G3</f>
        <v>#N/A</v>
      </c>
      <c r="J3" s="16">
        <v>26</v>
      </c>
      <c r="K3" s="16">
        <v>2</v>
      </c>
      <c r="L3" s="16" t="e">
        <f>_xlfn.XLOOKUP(A3, 到门店!A:A, 到门店!C:C)</f>
        <v>#N/A</v>
      </c>
      <c r="M3" s="17" t="e">
        <f t="shared" ref="M3:M23" si="2">L3/K3</f>
        <v>#N/A</v>
      </c>
      <c r="N3" s="16">
        <v>4</v>
      </c>
      <c r="O3" s="16" t="e">
        <f>_xlfn.XLOOKUP(A3, 到门店!A:A, 到门店!C:C)</f>
        <v>#N/A</v>
      </c>
      <c r="P3" s="17" t="e">
        <f t="shared" ref="P3:P23" si="3">O3/N3</f>
        <v>#N/A</v>
      </c>
      <c r="Q3" s="16">
        <v>25</v>
      </c>
    </row>
    <row r="4" spans="1:17" ht="16">
      <c r="A4" s="14" t="s">
        <v>19</v>
      </c>
      <c r="B4" s="15" t="s">
        <v>20</v>
      </c>
      <c r="C4" s="15" t="s">
        <v>18</v>
      </c>
      <c r="D4" s="16">
        <v>2</v>
      </c>
      <c r="E4" s="16" t="e">
        <f>_xlfn.XLOOKUP(A4, 到门店!A:A, 到门店!B:B)</f>
        <v>#N/A</v>
      </c>
      <c r="F4" s="17" t="e">
        <f t="shared" si="0"/>
        <v>#N/A</v>
      </c>
      <c r="G4" s="16">
        <v>4</v>
      </c>
      <c r="H4" s="16" t="e">
        <f>_xlfn.XLOOKUP(A4, 到门店!A:A, 到门店!B:B)</f>
        <v>#N/A</v>
      </c>
      <c r="I4" s="17" t="e">
        <f t="shared" si="1"/>
        <v>#N/A</v>
      </c>
      <c r="J4" s="16">
        <v>24</v>
      </c>
      <c r="K4" s="16">
        <v>3</v>
      </c>
      <c r="L4" s="16" t="e">
        <f>_xlfn.XLOOKUP(A4, 到门店!A:A, 到门店!C:C)</f>
        <v>#N/A</v>
      </c>
      <c r="M4" s="17" t="e">
        <f t="shared" si="2"/>
        <v>#N/A</v>
      </c>
      <c r="N4" s="16">
        <v>7</v>
      </c>
      <c r="O4" s="16" t="e">
        <f>_xlfn.XLOOKUP(A4, 到门店!A:A, 到门店!C:C)</f>
        <v>#N/A</v>
      </c>
      <c r="P4" s="17" t="e">
        <f t="shared" si="3"/>
        <v>#N/A</v>
      </c>
      <c r="Q4" s="16">
        <v>40</v>
      </c>
    </row>
    <row r="5" spans="1:17" ht="16">
      <c r="A5" s="14" t="s">
        <v>21</v>
      </c>
      <c r="B5" s="15" t="s">
        <v>22</v>
      </c>
      <c r="C5" s="15" t="s">
        <v>18</v>
      </c>
      <c r="D5" s="16">
        <v>2</v>
      </c>
      <c r="E5" s="16" t="e">
        <f>_xlfn.XLOOKUP(A5, 到门店!A:A, 到门店!B:B)</f>
        <v>#N/A</v>
      </c>
      <c r="F5" s="17" t="e">
        <f t="shared" si="0"/>
        <v>#N/A</v>
      </c>
      <c r="G5" s="16">
        <v>4</v>
      </c>
      <c r="H5" s="16" t="e">
        <f>_xlfn.XLOOKUP(A5, 到门店!A:A, 到门店!B:B)</f>
        <v>#N/A</v>
      </c>
      <c r="I5" s="17" t="e">
        <f t="shared" si="1"/>
        <v>#N/A</v>
      </c>
      <c r="J5" s="16">
        <v>24</v>
      </c>
      <c r="K5" s="16">
        <v>1</v>
      </c>
      <c r="L5" s="16" t="e">
        <f>_xlfn.XLOOKUP(A5, 到门店!A:A, 到门店!C:C)</f>
        <v>#N/A</v>
      </c>
      <c r="M5" s="17" t="e">
        <f t="shared" si="2"/>
        <v>#N/A</v>
      </c>
      <c r="N5" s="16">
        <v>3</v>
      </c>
      <c r="O5" s="16" t="e">
        <f>_xlfn.XLOOKUP(A5, 到门店!A:A, 到门店!C:C)</f>
        <v>#N/A</v>
      </c>
      <c r="P5" s="17" t="e">
        <f t="shared" si="3"/>
        <v>#N/A</v>
      </c>
      <c r="Q5" s="16">
        <v>17</v>
      </c>
    </row>
    <row r="6" spans="1:17" ht="16">
      <c r="A6" s="14" t="s">
        <v>23</v>
      </c>
      <c r="B6" s="15"/>
      <c r="C6" s="15" t="s">
        <v>18</v>
      </c>
      <c r="D6" s="16">
        <v>2</v>
      </c>
      <c r="E6" s="16" t="e">
        <f>_xlfn.XLOOKUP(A6, 到门店!A:A, 到门店!B:B)</f>
        <v>#N/A</v>
      </c>
      <c r="F6" s="17" t="e">
        <f t="shared" si="0"/>
        <v>#N/A</v>
      </c>
      <c r="G6" s="16">
        <v>4</v>
      </c>
      <c r="H6" s="16" t="e">
        <f>_xlfn.XLOOKUP(A6, 到门店!A:A, 到门店!B:B)</f>
        <v>#N/A</v>
      </c>
      <c r="I6" s="17" t="e">
        <f t="shared" si="1"/>
        <v>#N/A</v>
      </c>
      <c r="J6" s="16">
        <v>21</v>
      </c>
      <c r="K6" s="16">
        <v>1</v>
      </c>
      <c r="L6" s="16" t="e">
        <f>_xlfn.XLOOKUP(A6, 到门店!A:A, 到门店!C:C)</f>
        <v>#N/A</v>
      </c>
      <c r="M6" s="17" t="e">
        <f t="shared" si="2"/>
        <v>#N/A</v>
      </c>
      <c r="N6" s="16">
        <v>3</v>
      </c>
      <c r="O6" s="16" t="e">
        <f>_xlfn.XLOOKUP(A6, 到门店!A:A, 到门店!C:C)</f>
        <v>#N/A</v>
      </c>
      <c r="P6" s="17" t="e">
        <f t="shared" si="3"/>
        <v>#N/A</v>
      </c>
      <c r="Q6" s="16">
        <v>21</v>
      </c>
    </row>
    <row r="7" spans="1:17" ht="16">
      <c r="A7" s="14" t="s">
        <v>24</v>
      </c>
      <c r="B7" s="15" t="s">
        <v>25</v>
      </c>
      <c r="C7" s="15" t="s">
        <v>18</v>
      </c>
      <c r="D7" s="16">
        <v>1</v>
      </c>
      <c r="E7" s="16" t="e">
        <f>_xlfn.XLOOKUP(A7, 到门店!A:A, 到门店!B:B)</f>
        <v>#N/A</v>
      </c>
      <c r="F7" s="17" t="e">
        <f t="shared" si="0"/>
        <v>#N/A</v>
      </c>
      <c r="G7" s="16">
        <v>3</v>
      </c>
      <c r="H7" s="16" t="e">
        <f>_xlfn.XLOOKUP(A7, 到门店!A:A, 到门店!B:B)</f>
        <v>#N/A</v>
      </c>
      <c r="I7" s="17" t="e">
        <f t="shared" si="1"/>
        <v>#N/A</v>
      </c>
      <c r="J7" s="16">
        <v>17</v>
      </c>
      <c r="K7" s="16">
        <v>3</v>
      </c>
      <c r="L7" s="16" t="e">
        <f>_xlfn.XLOOKUP(A7, 到门店!A:A, 到门店!C:C)</f>
        <v>#N/A</v>
      </c>
      <c r="M7" s="17" t="e">
        <f t="shared" si="2"/>
        <v>#N/A</v>
      </c>
      <c r="N7" s="16">
        <v>7</v>
      </c>
      <c r="O7" s="16" t="e">
        <f>_xlfn.XLOOKUP(A7, 到门店!A:A, 到门店!C:C)</f>
        <v>#N/A</v>
      </c>
      <c r="P7" s="17" t="e">
        <f t="shared" si="3"/>
        <v>#N/A</v>
      </c>
      <c r="Q7" s="16">
        <v>41</v>
      </c>
    </row>
    <row r="8" spans="1:17" ht="16">
      <c r="A8" s="14" t="s">
        <v>26</v>
      </c>
      <c r="B8" s="15" t="s">
        <v>27</v>
      </c>
      <c r="C8" s="15" t="s">
        <v>18</v>
      </c>
      <c r="D8" s="16">
        <v>1</v>
      </c>
      <c r="E8" s="16" t="e">
        <f>_xlfn.XLOOKUP(A8, 到门店!A:A, 到门店!B:B)</f>
        <v>#N/A</v>
      </c>
      <c r="F8" s="17" t="e">
        <f t="shared" si="0"/>
        <v>#N/A</v>
      </c>
      <c r="G8" s="16">
        <v>3</v>
      </c>
      <c r="H8" s="16" t="e">
        <f>_xlfn.XLOOKUP(A8, 到门店!A:A, 到门店!B:B)</f>
        <v>#N/A</v>
      </c>
      <c r="I8" s="17" t="e">
        <f t="shared" si="1"/>
        <v>#N/A</v>
      </c>
      <c r="J8" s="16">
        <v>15</v>
      </c>
      <c r="K8" s="16">
        <v>2</v>
      </c>
      <c r="L8" s="16" t="e">
        <f>_xlfn.XLOOKUP(A8, 到门店!A:A, 到门店!C:C)</f>
        <v>#N/A</v>
      </c>
      <c r="M8" s="17" t="e">
        <f t="shared" si="2"/>
        <v>#N/A</v>
      </c>
      <c r="N8" s="16">
        <v>4</v>
      </c>
      <c r="O8" s="16" t="e">
        <f>_xlfn.XLOOKUP(A8, 到门店!A:A, 到门店!C:C)</f>
        <v>#N/A</v>
      </c>
      <c r="P8" s="17" t="e">
        <f t="shared" si="3"/>
        <v>#N/A</v>
      </c>
      <c r="Q8" s="16">
        <v>27</v>
      </c>
    </row>
    <row r="9" spans="1:17" ht="16">
      <c r="A9" s="14" t="s">
        <v>28</v>
      </c>
      <c r="B9" s="15" t="s">
        <v>22</v>
      </c>
      <c r="C9" s="15" t="s">
        <v>18</v>
      </c>
      <c r="D9" s="16">
        <v>1</v>
      </c>
      <c r="E9" s="16" t="e">
        <f>_xlfn.XLOOKUP(A9, 到门店!A:A, 到门店!B:B)</f>
        <v>#N/A</v>
      </c>
      <c r="F9" s="17" t="e">
        <f t="shared" si="0"/>
        <v>#N/A</v>
      </c>
      <c r="G9" s="16">
        <v>3</v>
      </c>
      <c r="H9" s="16" t="e">
        <f>_xlfn.XLOOKUP(A9, 到门店!A:A, 到门店!B:B)</f>
        <v>#N/A</v>
      </c>
      <c r="I9" s="17" t="e">
        <f t="shared" si="1"/>
        <v>#N/A</v>
      </c>
      <c r="J9" s="16">
        <v>14</v>
      </c>
      <c r="K9" s="16">
        <v>2</v>
      </c>
      <c r="L9" s="16" t="e">
        <f>_xlfn.XLOOKUP(A9, 到门店!A:A, 到门店!C:C)</f>
        <v>#N/A</v>
      </c>
      <c r="M9" s="17" t="e">
        <f t="shared" si="2"/>
        <v>#N/A</v>
      </c>
      <c r="N9" s="16">
        <v>5</v>
      </c>
      <c r="O9" s="16" t="e">
        <f>_xlfn.XLOOKUP(A9, 到门店!A:A, 到门店!C:C)</f>
        <v>#N/A</v>
      </c>
      <c r="P9" s="17" t="e">
        <f t="shared" si="3"/>
        <v>#N/A</v>
      </c>
      <c r="Q9" s="16">
        <v>31</v>
      </c>
    </row>
    <row r="10" spans="1:17" ht="16">
      <c r="A10" s="18" t="s">
        <v>29</v>
      </c>
      <c r="B10" s="19" t="s">
        <v>22</v>
      </c>
      <c r="C10" s="15" t="s">
        <v>18</v>
      </c>
      <c r="D10" s="20">
        <v>3</v>
      </c>
      <c r="E10" s="16" t="e">
        <f>_xlfn.XLOOKUP(A10, 到门店!A:A, 到门店!B:B)</f>
        <v>#N/A</v>
      </c>
      <c r="F10" s="17" t="e">
        <f t="shared" si="0"/>
        <v>#N/A</v>
      </c>
      <c r="G10" s="20">
        <v>8</v>
      </c>
      <c r="H10" s="16" t="e">
        <f>_xlfn.XLOOKUP(A10, 到门店!A:A, 到门店!B:B)</f>
        <v>#N/A</v>
      </c>
      <c r="I10" s="17" t="e">
        <f t="shared" si="1"/>
        <v>#N/A</v>
      </c>
      <c r="J10" s="20">
        <v>36</v>
      </c>
      <c r="K10" s="20">
        <v>2</v>
      </c>
      <c r="L10" s="16" t="e">
        <f>_xlfn.XLOOKUP(A10, 到门店!A:A, 到门店!C:C)</f>
        <v>#N/A</v>
      </c>
      <c r="M10" s="17" t="e">
        <f t="shared" si="2"/>
        <v>#N/A</v>
      </c>
      <c r="N10" s="20">
        <v>6</v>
      </c>
      <c r="O10" s="16" t="e">
        <f>_xlfn.XLOOKUP(A10, 到门店!A:A, 到门店!C:C)</f>
        <v>#N/A</v>
      </c>
      <c r="P10" s="17" t="e">
        <f t="shared" si="3"/>
        <v>#N/A</v>
      </c>
      <c r="Q10" s="20">
        <v>32</v>
      </c>
    </row>
    <row r="11" spans="1:17" ht="16">
      <c r="A11" s="18" t="s">
        <v>30</v>
      </c>
      <c r="B11" s="19" t="s">
        <v>22</v>
      </c>
      <c r="C11" s="15" t="s">
        <v>18</v>
      </c>
      <c r="D11" s="20">
        <v>1</v>
      </c>
      <c r="E11" s="16" t="e">
        <f>_xlfn.XLOOKUP(A11, 到门店!A:A, 到门店!B:B)</f>
        <v>#N/A</v>
      </c>
      <c r="F11" s="17" t="e">
        <f t="shared" si="0"/>
        <v>#N/A</v>
      </c>
      <c r="G11" s="20">
        <v>4</v>
      </c>
      <c r="H11" s="16" t="e">
        <f>_xlfn.XLOOKUP(A11, 到门店!A:A, 到门店!B:B)</f>
        <v>#N/A</v>
      </c>
      <c r="I11" s="17" t="e">
        <f t="shared" si="1"/>
        <v>#N/A</v>
      </c>
      <c r="J11" s="20">
        <v>19</v>
      </c>
      <c r="K11" s="20">
        <v>1</v>
      </c>
      <c r="L11" s="16" t="e">
        <f>_xlfn.XLOOKUP(A11, 到门店!A:A, 到门店!C:C)</f>
        <v>#N/A</v>
      </c>
      <c r="M11" s="17" t="e">
        <f t="shared" si="2"/>
        <v>#N/A</v>
      </c>
      <c r="N11" s="20">
        <v>3</v>
      </c>
      <c r="O11" s="16" t="e">
        <f>_xlfn.XLOOKUP(A11, 到门店!A:A, 到门店!C:C)</f>
        <v>#N/A</v>
      </c>
      <c r="P11" s="17" t="e">
        <f t="shared" si="3"/>
        <v>#N/A</v>
      </c>
      <c r="Q11" s="20">
        <v>16</v>
      </c>
    </row>
    <row r="12" spans="1:17" ht="16">
      <c r="A12" s="21" t="s">
        <v>1</v>
      </c>
      <c r="B12" s="10"/>
      <c r="C12" s="22"/>
      <c r="D12" s="22">
        <f>SUM(D3:D11)</f>
        <v>15</v>
      </c>
      <c r="E12" s="22" t="e">
        <f>SUM(E3:E11)</f>
        <v>#N/A</v>
      </c>
      <c r="F12" s="23" t="e">
        <f t="shared" si="0"/>
        <v>#N/A</v>
      </c>
      <c r="G12" s="22">
        <f>SUM(G3:G11)</f>
        <v>38</v>
      </c>
      <c r="H12" s="22" t="e">
        <f>SUM(H3:H11)</f>
        <v>#N/A</v>
      </c>
      <c r="I12" s="23" t="e">
        <f t="shared" si="1"/>
        <v>#N/A</v>
      </c>
      <c r="J12" s="22">
        <f>SUM(J3:J11)</f>
        <v>196</v>
      </c>
      <c r="K12" s="22">
        <f>SUM(K3:K11)</f>
        <v>17</v>
      </c>
      <c r="L12" s="22" t="e">
        <f>SUM(L3:L11)</f>
        <v>#N/A</v>
      </c>
      <c r="M12" s="23" t="e">
        <f t="shared" si="2"/>
        <v>#N/A</v>
      </c>
      <c r="N12" s="22">
        <f>SUM(N3:N11)</f>
        <v>42</v>
      </c>
      <c r="O12" s="22" t="e">
        <f>SUM(O3:O11)</f>
        <v>#N/A</v>
      </c>
      <c r="P12" s="23" t="e">
        <f t="shared" si="3"/>
        <v>#N/A</v>
      </c>
      <c r="Q12" s="22">
        <f>SUM(Q3:Q11)</f>
        <v>250</v>
      </c>
    </row>
    <row r="13" spans="1:17" ht="16">
      <c r="A13" s="25" t="s">
        <v>47</v>
      </c>
      <c r="B13" s="19"/>
      <c r="C13" s="19" t="s">
        <v>31</v>
      </c>
      <c r="D13" s="16">
        <v>1</v>
      </c>
      <c r="E13" s="16" t="e">
        <f>_xlfn.XLOOKUP(A13, 到门店!A:A, 到门店!B:B)</f>
        <v>#N/A</v>
      </c>
      <c r="F13" s="17" t="e">
        <f t="shared" si="0"/>
        <v>#N/A</v>
      </c>
      <c r="G13" s="16">
        <v>2</v>
      </c>
      <c r="H13" s="16" t="e">
        <f>_xlfn.XLOOKUP(A13, 到门店!A:A, 到门店!B:B)</f>
        <v>#N/A</v>
      </c>
      <c r="I13" s="17" t="e">
        <f t="shared" si="1"/>
        <v>#N/A</v>
      </c>
      <c r="J13" s="16">
        <v>9</v>
      </c>
      <c r="K13" s="16">
        <v>0</v>
      </c>
      <c r="L13" s="16" t="e">
        <f>_xlfn.XLOOKUP(A13, 到门店!A:A, 到门店!C:C)</f>
        <v>#N/A</v>
      </c>
      <c r="M13" s="17" t="e">
        <f t="shared" si="2"/>
        <v>#N/A</v>
      </c>
      <c r="N13" s="16">
        <v>1</v>
      </c>
      <c r="O13" s="16" t="e">
        <f>_xlfn.XLOOKUP(A13, 到门店!A:A, 到门店!C:C)</f>
        <v>#N/A</v>
      </c>
      <c r="P13" s="17" t="e">
        <f t="shared" si="3"/>
        <v>#N/A</v>
      </c>
      <c r="Q13" s="16">
        <v>5</v>
      </c>
    </row>
    <row r="14" spans="1:17" ht="16">
      <c r="A14" s="24" t="s">
        <v>32</v>
      </c>
      <c r="B14" s="19"/>
      <c r="C14" s="19" t="s">
        <v>31</v>
      </c>
      <c r="D14" s="20">
        <v>2</v>
      </c>
      <c r="E14" s="16" t="e">
        <f>_xlfn.XLOOKUP(A14, 到门店!A:A, 到门店!B:B)</f>
        <v>#N/A</v>
      </c>
      <c r="F14" s="17" t="e">
        <f t="shared" si="0"/>
        <v>#N/A</v>
      </c>
      <c r="G14" s="20">
        <v>4</v>
      </c>
      <c r="H14" s="16" t="e">
        <f>_xlfn.XLOOKUP(A14, 到门店!A:A, 到门店!B:B)</f>
        <v>#N/A</v>
      </c>
      <c r="I14" s="17" t="e">
        <f t="shared" si="1"/>
        <v>#N/A</v>
      </c>
      <c r="J14" s="20">
        <v>19</v>
      </c>
      <c r="K14" s="20">
        <v>1</v>
      </c>
      <c r="L14" s="16" t="e">
        <f>_xlfn.XLOOKUP(A14, 到门店!A:A, 到门店!C:C)</f>
        <v>#N/A</v>
      </c>
      <c r="M14" s="17" t="e">
        <f t="shared" si="2"/>
        <v>#N/A</v>
      </c>
      <c r="N14" s="20">
        <v>3</v>
      </c>
      <c r="O14" s="16" t="e">
        <f>_xlfn.XLOOKUP(A14, 到门店!A:A, 到门店!C:C)</f>
        <v>#N/A</v>
      </c>
      <c r="P14" s="17" t="e">
        <f t="shared" si="3"/>
        <v>#N/A</v>
      </c>
      <c r="Q14" s="20">
        <v>18</v>
      </c>
    </row>
    <row r="15" spans="1:17" ht="16">
      <c r="A15" s="25" t="s">
        <v>33</v>
      </c>
      <c r="B15" s="19" t="s">
        <v>34</v>
      </c>
      <c r="C15" s="19" t="s">
        <v>31</v>
      </c>
      <c r="D15" s="16">
        <v>4</v>
      </c>
      <c r="E15" s="16" t="e">
        <f>_xlfn.XLOOKUP(A15, 到门店!A:A, 到门店!B:B)</f>
        <v>#N/A</v>
      </c>
      <c r="F15" s="17" t="e">
        <f t="shared" si="0"/>
        <v>#N/A</v>
      </c>
      <c r="G15" s="16">
        <v>10</v>
      </c>
      <c r="H15" s="16" t="e">
        <f>_xlfn.XLOOKUP(A15, 到门店!A:A, 到门店!B:B)</f>
        <v>#N/A</v>
      </c>
      <c r="I15" s="17" t="e">
        <f t="shared" si="1"/>
        <v>#N/A</v>
      </c>
      <c r="J15" s="16">
        <v>53</v>
      </c>
      <c r="K15" s="16">
        <v>2</v>
      </c>
      <c r="L15" s="16" t="e">
        <f>_xlfn.XLOOKUP(A15, 到门店!A:A, 到门店!C:C)</f>
        <v>#N/A</v>
      </c>
      <c r="M15" s="17" t="e">
        <f t="shared" si="2"/>
        <v>#N/A</v>
      </c>
      <c r="N15" s="16">
        <v>5</v>
      </c>
      <c r="O15" s="16" t="e">
        <f>_xlfn.XLOOKUP(A15, 到门店!A:A, 到门店!C:C)</f>
        <v>#N/A</v>
      </c>
      <c r="P15" s="17" t="e">
        <f t="shared" si="3"/>
        <v>#N/A</v>
      </c>
      <c r="Q15" s="16">
        <v>31</v>
      </c>
    </row>
    <row r="16" spans="1:17" ht="16">
      <c r="A16" s="25" t="s">
        <v>35</v>
      </c>
      <c r="B16" s="19" t="s">
        <v>36</v>
      </c>
      <c r="C16" s="19" t="s">
        <v>31</v>
      </c>
      <c r="D16" s="16">
        <v>2</v>
      </c>
      <c r="E16" s="16" t="e">
        <f>_xlfn.XLOOKUP(A16, 到门店!A:A, 到门店!B:B)</f>
        <v>#N/A</v>
      </c>
      <c r="F16" s="17" t="e">
        <f t="shared" si="0"/>
        <v>#N/A</v>
      </c>
      <c r="G16" s="16">
        <v>6</v>
      </c>
      <c r="H16" s="16" t="e">
        <f>_xlfn.XLOOKUP(A16, 到门店!A:A, 到门店!B:B)</f>
        <v>#N/A</v>
      </c>
      <c r="I16" s="17" t="e">
        <f t="shared" si="1"/>
        <v>#N/A</v>
      </c>
      <c r="J16" s="16">
        <v>32</v>
      </c>
      <c r="K16" s="16">
        <v>1</v>
      </c>
      <c r="L16" s="16" t="e">
        <f>_xlfn.XLOOKUP(A16, 到门店!A:A, 到门店!C:C)</f>
        <v>#N/A</v>
      </c>
      <c r="M16" s="17" t="e">
        <f t="shared" si="2"/>
        <v>#N/A</v>
      </c>
      <c r="N16" s="16">
        <v>2</v>
      </c>
      <c r="O16" s="16" t="e">
        <f>_xlfn.XLOOKUP(A16, 到门店!A:A, 到门店!C:C)</f>
        <v>#N/A</v>
      </c>
      <c r="P16" s="17" t="e">
        <f t="shared" si="3"/>
        <v>#N/A</v>
      </c>
      <c r="Q16" s="16">
        <v>11</v>
      </c>
    </row>
    <row r="17" spans="1:17" ht="16">
      <c r="A17" s="25" t="s">
        <v>37</v>
      </c>
      <c r="B17" s="19" t="s">
        <v>38</v>
      </c>
      <c r="C17" s="19" t="s">
        <v>31</v>
      </c>
      <c r="D17" s="16">
        <v>2</v>
      </c>
      <c r="E17" s="16" t="e">
        <f>_xlfn.XLOOKUP(A17, 到门店!A:A, 到门店!B:B)</f>
        <v>#N/A</v>
      </c>
      <c r="F17" s="17" t="e">
        <f t="shared" si="0"/>
        <v>#N/A</v>
      </c>
      <c r="G17" s="16">
        <v>5</v>
      </c>
      <c r="H17" s="16" t="e">
        <f>_xlfn.XLOOKUP(A17, 到门店!A:A, 到门店!B:B)</f>
        <v>#N/A</v>
      </c>
      <c r="I17" s="17" t="e">
        <f t="shared" si="1"/>
        <v>#N/A</v>
      </c>
      <c r="J17" s="16">
        <v>28</v>
      </c>
      <c r="K17" s="16">
        <v>1</v>
      </c>
      <c r="L17" s="16" t="e">
        <f>_xlfn.XLOOKUP(A17, 到门店!A:A, 到门店!C:C)</f>
        <v>#N/A</v>
      </c>
      <c r="M17" s="17" t="e">
        <f t="shared" si="2"/>
        <v>#N/A</v>
      </c>
      <c r="N17" s="16">
        <v>2</v>
      </c>
      <c r="O17" s="16" t="e">
        <f>_xlfn.XLOOKUP(A17, 到门店!A:A, 到门店!C:C)</f>
        <v>#N/A</v>
      </c>
      <c r="P17" s="17" t="e">
        <f t="shared" si="3"/>
        <v>#N/A</v>
      </c>
      <c r="Q17" s="16">
        <v>14</v>
      </c>
    </row>
    <row r="18" spans="1:17" ht="16">
      <c r="A18" s="25" t="s">
        <v>39</v>
      </c>
      <c r="B18" s="19"/>
      <c r="C18" s="19" t="s">
        <v>31</v>
      </c>
      <c r="D18" s="16">
        <v>1</v>
      </c>
      <c r="E18" s="16" t="e">
        <f>_xlfn.XLOOKUP(A18, 到门店!A:A, 到门店!B:B)</f>
        <v>#N/A</v>
      </c>
      <c r="F18" s="17" t="e">
        <f t="shared" si="0"/>
        <v>#N/A</v>
      </c>
      <c r="G18" s="16">
        <v>3</v>
      </c>
      <c r="H18" s="16" t="e">
        <f>_xlfn.XLOOKUP(A18, 到门店!A:A, 到门店!B:B)</f>
        <v>#N/A</v>
      </c>
      <c r="I18" s="17" t="e">
        <f t="shared" si="1"/>
        <v>#N/A</v>
      </c>
      <c r="J18" s="16">
        <v>14</v>
      </c>
      <c r="K18" s="16">
        <v>1</v>
      </c>
      <c r="L18" s="16" t="e">
        <f>_xlfn.XLOOKUP(A18, 到门店!A:A, 到门店!C:C)</f>
        <v>#N/A</v>
      </c>
      <c r="M18" s="17" t="e">
        <f t="shared" si="2"/>
        <v>#N/A</v>
      </c>
      <c r="N18" s="16">
        <v>2</v>
      </c>
      <c r="O18" s="16" t="e">
        <f>_xlfn.XLOOKUP(A18, 到门店!A:A, 到门店!C:C)</f>
        <v>#N/A</v>
      </c>
      <c r="P18" s="17" t="e">
        <f t="shared" si="3"/>
        <v>#N/A</v>
      </c>
      <c r="Q18" s="16">
        <v>10</v>
      </c>
    </row>
    <row r="19" spans="1:17" ht="16">
      <c r="A19" s="25" t="s">
        <v>40</v>
      </c>
      <c r="B19" s="19"/>
      <c r="C19" s="19" t="s">
        <v>31</v>
      </c>
      <c r="D19" s="16">
        <v>1</v>
      </c>
      <c r="E19" s="16" t="e">
        <f>_xlfn.XLOOKUP(A19, 到门店!A:A, 到门店!B:B)</f>
        <v>#N/A</v>
      </c>
      <c r="F19" s="17" t="e">
        <f t="shared" si="0"/>
        <v>#N/A</v>
      </c>
      <c r="G19" s="16">
        <v>1</v>
      </c>
      <c r="H19" s="16" t="e">
        <f>_xlfn.XLOOKUP(A19, 到门店!A:A, 到门店!B:B)</f>
        <v>#N/A</v>
      </c>
      <c r="I19" s="17" t="e">
        <f t="shared" si="1"/>
        <v>#N/A</v>
      </c>
      <c r="J19" s="16">
        <v>7</v>
      </c>
      <c r="K19" s="16">
        <v>0</v>
      </c>
      <c r="L19" s="16" t="e">
        <f>_xlfn.XLOOKUP(A19, 到门店!A:A, 到门店!C:C)</f>
        <v>#N/A</v>
      </c>
      <c r="M19" s="17" t="e">
        <f t="shared" si="2"/>
        <v>#N/A</v>
      </c>
      <c r="N19" s="16">
        <v>0</v>
      </c>
      <c r="O19" s="16" t="e">
        <f>_xlfn.XLOOKUP(A19, 到门店!A:A, 到门店!C:C)</f>
        <v>#N/A</v>
      </c>
      <c r="P19" s="17" t="e">
        <f t="shared" si="3"/>
        <v>#N/A</v>
      </c>
      <c r="Q19" s="16">
        <v>3</v>
      </c>
    </row>
    <row r="20" spans="1:17" ht="16">
      <c r="A20" s="25" t="s">
        <v>41</v>
      </c>
      <c r="B20" s="19"/>
      <c r="C20" s="19" t="s">
        <v>31</v>
      </c>
      <c r="D20" s="16">
        <v>1</v>
      </c>
      <c r="E20" s="16" t="e">
        <f>_xlfn.XLOOKUP(A20, 到门店!A:A, 到门店!B:B)</f>
        <v>#N/A</v>
      </c>
      <c r="F20" s="17" t="e">
        <f t="shared" si="0"/>
        <v>#N/A</v>
      </c>
      <c r="G20" s="16">
        <v>1</v>
      </c>
      <c r="H20" s="16" t="e">
        <f>_xlfn.XLOOKUP(A20, 到门店!A:A, 到门店!B:B)</f>
        <v>#N/A</v>
      </c>
      <c r="I20" s="17" t="e">
        <f t="shared" si="1"/>
        <v>#N/A</v>
      </c>
      <c r="J20" s="16">
        <v>6</v>
      </c>
      <c r="K20" s="16">
        <v>1</v>
      </c>
      <c r="L20" s="16" t="e">
        <f>_xlfn.XLOOKUP(A20, 到门店!A:A, 到门店!C:C)</f>
        <v>#N/A</v>
      </c>
      <c r="M20" s="17" t="e">
        <f t="shared" si="2"/>
        <v>#N/A</v>
      </c>
      <c r="N20" s="16">
        <v>1</v>
      </c>
      <c r="O20" s="16" t="e">
        <f>_xlfn.XLOOKUP(A20, 到门店!A:A, 到门店!C:C)</f>
        <v>#N/A</v>
      </c>
      <c r="P20" s="17" t="e">
        <f t="shared" si="3"/>
        <v>#N/A</v>
      </c>
      <c r="Q20" s="16">
        <v>3</v>
      </c>
    </row>
    <row r="21" spans="1:17" ht="16">
      <c r="A21" s="25" t="s">
        <v>42</v>
      </c>
      <c r="B21" s="19"/>
      <c r="C21" s="19" t="s">
        <v>31</v>
      </c>
      <c r="D21" s="16">
        <v>1</v>
      </c>
      <c r="E21" s="16" t="e">
        <f>_xlfn.XLOOKUP(A21, 到门店!A:A, 到门店!B:B)</f>
        <v>#N/A</v>
      </c>
      <c r="F21" s="17" t="e">
        <f t="shared" si="0"/>
        <v>#N/A</v>
      </c>
      <c r="G21" s="16">
        <v>1</v>
      </c>
      <c r="H21" s="16" t="e">
        <f>_xlfn.XLOOKUP(A21, 到门店!A:A, 到门店!B:B)</f>
        <v>#N/A</v>
      </c>
      <c r="I21" s="17" t="e">
        <f t="shared" si="1"/>
        <v>#N/A</v>
      </c>
      <c r="J21" s="16">
        <v>4</v>
      </c>
      <c r="K21" s="16">
        <v>1</v>
      </c>
      <c r="L21" s="16" t="e">
        <f>_xlfn.XLOOKUP(A21, 到门店!A:A, 到门店!C:C)</f>
        <v>#N/A</v>
      </c>
      <c r="M21" s="17" t="e">
        <f t="shared" si="2"/>
        <v>#N/A</v>
      </c>
      <c r="N21" s="16">
        <v>1</v>
      </c>
      <c r="O21" s="16" t="e">
        <f>_xlfn.XLOOKUP(A21, 到门店!A:A, 到门店!C:C)</f>
        <v>#N/A</v>
      </c>
      <c r="P21" s="17" t="e">
        <f t="shared" si="3"/>
        <v>#N/A</v>
      </c>
      <c r="Q21" s="16">
        <v>3</v>
      </c>
    </row>
    <row r="22" spans="1:17" ht="16">
      <c r="A22" s="25" t="s">
        <v>43</v>
      </c>
      <c r="B22" s="19"/>
      <c r="C22" s="19" t="s">
        <v>31</v>
      </c>
      <c r="D22" s="16">
        <v>0</v>
      </c>
      <c r="E22" s="16" t="e">
        <f>_xlfn.XLOOKUP(A22, 到门店!A:A, 到门店!B:B)</f>
        <v>#N/A</v>
      </c>
      <c r="F22" s="17" t="e">
        <f t="shared" si="0"/>
        <v>#N/A</v>
      </c>
      <c r="G22" s="16">
        <v>1</v>
      </c>
      <c r="H22" s="16" t="e">
        <f>_xlfn.XLOOKUP(A22, 到门店!A:A, 到门店!B:B)</f>
        <v>#N/A</v>
      </c>
      <c r="I22" s="17" t="e">
        <f t="shared" si="1"/>
        <v>#N/A</v>
      </c>
      <c r="J22" s="16">
        <v>3</v>
      </c>
      <c r="K22" s="16">
        <v>0</v>
      </c>
      <c r="L22" s="16" t="e">
        <f>_xlfn.XLOOKUP(A22, 到门店!A:A, 到门店!C:C)</f>
        <v>#N/A</v>
      </c>
      <c r="M22" s="17" t="e">
        <f t="shared" si="2"/>
        <v>#N/A</v>
      </c>
      <c r="N22" s="16">
        <v>1</v>
      </c>
      <c r="O22" s="16" t="e">
        <f>_xlfn.XLOOKUP(A22, 到门店!A:A, 到门店!C:C)</f>
        <v>#N/A</v>
      </c>
      <c r="P22" s="17" t="e">
        <f t="shared" si="3"/>
        <v>#N/A</v>
      </c>
      <c r="Q22" s="16">
        <v>4</v>
      </c>
    </row>
    <row r="23" spans="1:17" ht="16">
      <c r="A23" s="21" t="s">
        <v>1</v>
      </c>
      <c r="B23" s="10"/>
      <c r="C23" s="22"/>
      <c r="D23" s="22">
        <f>SUM(D14:D22)</f>
        <v>14</v>
      </c>
      <c r="E23" s="22" t="e">
        <f>SUM(E14:E22)</f>
        <v>#N/A</v>
      </c>
      <c r="F23" s="23" t="e">
        <f t="shared" si="0"/>
        <v>#N/A</v>
      </c>
      <c r="G23" s="22">
        <f>SUM(G14:G22)</f>
        <v>32</v>
      </c>
      <c r="H23" s="22" t="e">
        <f>SUM(H14:H22)</f>
        <v>#N/A</v>
      </c>
      <c r="I23" s="23" t="e">
        <f t="shared" si="1"/>
        <v>#N/A</v>
      </c>
      <c r="J23" s="22">
        <f>SUM(J14:J22)</f>
        <v>166</v>
      </c>
      <c r="K23" s="22">
        <f>SUM(K14:K22)</f>
        <v>8</v>
      </c>
      <c r="L23" s="22" t="e">
        <f>SUM(L14:L22)</f>
        <v>#N/A</v>
      </c>
      <c r="M23" s="23" t="e">
        <f t="shared" si="2"/>
        <v>#N/A</v>
      </c>
      <c r="N23" s="22">
        <f>SUM(N14:N22)</f>
        <v>17</v>
      </c>
      <c r="O23" s="22" t="e">
        <f>SUM(O14:O22)</f>
        <v>#N/A</v>
      </c>
      <c r="P23" s="23" t="e">
        <f t="shared" si="3"/>
        <v>#N/A</v>
      </c>
      <c r="Q23" s="22">
        <f>SUM(Q14:Q22)</f>
        <v>97</v>
      </c>
    </row>
  </sheetData>
  <mergeCells count="7">
    <mergeCell ref="A23:B23"/>
    <mergeCell ref="D1:J1"/>
    <mergeCell ref="K1:Q1"/>
    <mergeCell ref="A1:A2"/>
    <mergeCell ref="B1:B2"/>
    <mergeCell ref="C1:C2"/>
    <mergeCell ref="A12:B12"/>
  </mergeCells>
  <phoneticPr fontId="1" type="noConversion"/>
  <conditionalFormatting sqref="A1">
    <cfRule type="duplicateValues" dxfId="0" priority="9"/>
  </conditionalFormatting>
  <conditionalFormatting sqref="F3:F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:F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:M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P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"/>
  <sheetData>
    <row r="1" spans="1:1">
      <c r="A1" s="1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XFD1048576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到客户</vt:lpstr>
      <vt:lpstr>到门店</vt:lpstr>
      <vt:lpstr>门店通报用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ptac-duanjiashuang</dc:creator>
  <cp:lastModifiedBy>office user</cp:lastModifiedBy>
  <dcterms:created xsi:type="dcterms:W3CDTF">2026-03-30T05:53:23Z</dcterms:created>
  <dcterms:modified xsi:type="dcterms:W3CDTF">2026-04-05T03:45:13Z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79BFE7DB76734E8595B23C19B34B1966_11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